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418" documentId="8_{DC97D867-FA8D-4088-A1C9-30DB048EBBE8}" xr6:coauthVersionLast="47" xr6:coauthVersionMax="47" xr10:uidLastSave="{AEBAEBA1-A97E-41FA-9E1F-3904E56750F6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J28" i="2" s="1"/>
  <c r="I27" i="2"/>
  <c r="J2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<sst xmlns="http://schemas.openxmlformats.org/spreadsheetml/2006/main" count="181" uniqueCount="82">
  <si>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</si>
  <si>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</si>
  <si>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</si>
  <si>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</si>
  <si>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</si>
  <si>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</si>
  <si>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</si>
  <si>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</si>
  <si>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</si>
  <si>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</si>
  <si>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</si>
  <si>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</si>
  <si>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</si>
  <si>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</si>
  <si>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</si>
  <si>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</si>
  <si>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</si>
  <si>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</si>
  <si>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</si>
  <si>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</si>
  <si>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</si>
  <si>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</si>
  <si>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</si>
  <si>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</si>
  <si>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</si>
  <si>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</si>
  <si>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</si>
  <si>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</si>
  <si>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</si>
  <si>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</si>
  <si>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</si>
  <si>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</si>
  <si>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Lakshmi ganesh maddala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</si>
  <si>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</si>
  <si>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</si>
  <si>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</si>
  <si>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</si>
  <si>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</si>
  <si>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</si>
  <si>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</si>
  <si>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</si>
  <si>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</si>
  <si>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</si>
  <si>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</si>
  <si>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</si>
  <si>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</si>
  <si>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</si>
  <si>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</si>
  <si>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</si>
  <si>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</si>
  <si>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</si>
  <si>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</si>
  <si>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</si>
  <si>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</si>
  <si>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</si>
  <si>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</si>
  <si>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</si>
  <si>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</si>
  <si>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</si>
  <si>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</si>
  <si>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</si>
  <si>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</si>
  <si>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</si>
  <si>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</si>
  <si>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</si>
  <si>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</si>
  <si>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</si>
  <si>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today I have 5 class 5 lecture 0 pratical many class fully exhausted</t>
  </si>
  <si>
    <t>today I have 5 class 1lecture 4 pratical many class fully exhausted</t>
  </si>
  <si>
    <t>Unsatisfied</t>
  </si>
  <si>
    <t>today I have 8 class 5lecture 3 pratical many class fully exhausted</t>
  </si>
  <si>
    <t>today I have 5 class 4lecture 1 pratical many class fully exhausted</t>
  </si>
  <si>
    <t>Excellent</t>
  </si>
  <si>
    <t>today I have 6 class 4lecture 2 pratical many class fully exhausted</t>
  </si>
  <si>
    <t>today I have 8 class 4lecture 14pratical many class fully exhausted</t>
  </si>
  <si>
    <t xml:space="preserve">today I have 4 class 2lecture 2 pratical </t>
  </si>
  <si>
    <t>today I have 2 class 1 lecture 1 pratical</t>
  </si>
  <si>
    <t>today I have 3 class 2 lecture 1 pratical</t>
  </si>
  <si>
    <t xml:space="preserve">today I have 2 class 2 lecture </t>
  </si>
  <si>
    <t>today I have 5 class 3 lecture 2 pratical</t>
  </si>
  <si>
    <t>today I have 8 class 4 lecture 4 pratical</t>
  </si>
  <si>
    <t>today I have 4 class 2 lecture 2 pratical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</si>
</sst>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12" fillId="2" borderId="1" xfId="0" applyFont="1" applyFill="1" applyBorder="1" applyAlignment="1"/>
    <xf numFmtId="0" fontId="0" fillId="2" borderId="1" xfId="0" applyFill="1" applyBorder="1" applyAlignment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7109375" defaultRowHeight="14.45"/>
  <cols>
    <col min="1" max="1" width="105" customWidth="1"/>
  </cols>
  <sheetData>
    <row r="1" spans="1:1" ht="22.9">
      <c r="A1" s="1" t="s">
        <v>0</v>
      </c>
    </row>
    <row r="2" spans="1:1" ht="16.899999999999999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bottomRight" activeCell="N38" sqref="N38"/>
      <selection pane="bottomLeft" activeCell="A6" sqref="A6"/>
      <selection pane="topRight" activeCell="B1" sqref="B1"/>
    </sheetView>
  </sheetViews>
  <sheetFormatPr defaultColWidth="8.710937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5" t="s">
        <v>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>
      <c r="A2" s="6" t="s">
        <v>31</v>
      </c>
      <c r="B2" s="26" t="s">
        <v>32</v>
      </c>
      <c r="C2" s="27"/>
      <c r="D2" s="27"/>
      <c r="E2" s="6" t="s">
        <v>33</v>
      </c>
      <c r="F2" s="28">
        <v>12604714</v>
      </c>
      <c r="G2" s="28"/>
    </row>
    <row r="3" spans="1:14" ht="19.5" customHeight="1">
      <c r="A3" s="6" t="s">
        <v>34</v>
      </c>
      <c r="B3" s="26" t="s">
        <v>35</v>
      </c>
      <c r="C3" s="27"/>
      <c r="D3" s="27"/>
      <c r="E3" s="6" t="s">
        <v>36</v>
      </c>
      <c r="F3" s="26" t="s">
        <v>37</v>
      </c>
      <c r="G3" s="27"/>
    </row>
    <row r="4" spans="1:14">
      <c r="A4" s="24" t="s">
        <v>38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9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53</v>
      </c>
      <c r="L6" s="11" t="s">
        <v>54</v>
      </c>
      <c r="M6" s="11" t="s">
        <v>55</v>
      </c>
      <c r="N6" s="17" t="s">
        <v>56</v>
      </c>
    </row>
    <row r="7" spans="1:14" ht="43.15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54</v>
      </c>
      <c r="M7" s="22" t="s">
        <v>58</v>
      </c>
      <c r="N7" s="23" t="s">
        <v>59</v>
      </c>
    </row>
    <row r="8" spans="1:14" ht="43.15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54</v>
      </c>
      <c r="L8" s="15" t="s">
        <v>60</v>
      </c>
      <c r="M8" s="15" t="s">
        <v>55</v>
      </c>
      <c r="N8" s="23" t="s">
        <v>61</v>
      </c>
    </row>
    <row r="9" spans="1:14" ht="43.15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53</v>
      </c>
      <c r="L9" s="15" t="s">
        <v>60</v>
      </c>
      <c r="M9" s="15" t="s">
        <v>62</v>
      </c>
      <c r="N9" s="23" t="s">
        <v>63</v>
      </c>
    </row>
    <row r="10" spans="1:14" ht="28.9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53</v>
      </c>
      <c r="L10" s="15" t="s">
        <v>64</v>
      </c>
      <c r="M10" s="15" t="s">
        <v>62</v>
      </c>
      <c r="N10" s="16" t="s">
        <v>65</v>
      </c>
    </row>
    <row r="11" spans="1:14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53</v>
      </c>
      <c r="L11" s="15" t="s">
        <v>60</v>
      </c>
      <c r="M11" s="15" t="s">
        <v>55</v>
      </c>
      <c r="N11" s="16" t="s">
        <v>66</v>
      </c>
    </row>
    <row r="12" spans="1:14" ht="43.15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54</v>
      </c>
      <c r="L12" s="15" t="s">
        <v>54</v>
      </c>
      <c r="M12" s="15" t="s">
        <v>55</v>
      </c>
      <c r="N12" s="23" t="s">
        <v>67</v>
      </c>
    </row>
    <row r="13" spans="1:14" ht="43.15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54</v>
      </c>
      <c r="L13" s="15" t="s">
        <v>60</v>
      </c>
      <c r="M13" s="15" t="s">
        <v>55</v>
      </c>
      <c r="N13" s="23" t="s">
        <v>68</v>
      </c>
    </row>
    <row r="14" spans="1:14" ht="43.15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69</v>
      </c>
      <c r="M14" s="15" t="s">
        <v>58</v>
      </c>
      <c r="N14" s="23" t="s">
        <v>70</v>
      </c>
    </row>
    <row r="15" spans="1:14" ht="43.15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54</v>
      </c>
      <c r="L15" s="15" t="s">
        <v>60</v>
      </c>
      <c r="M15" s="15" t="s">
        <v>55</v>
      </c>
      <c r="N15" s="23" t="s">
        <v>71</v>
      </c>
    </row>
    <row r="16" spans="1:14" ht="43.15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53</v>
      </c>
      <c r="L16" s="15" t="s">
        <v>64</v>
      </c>
      <c r="M16" s="15" t="s">
        <v>62</v>
      </c>
      <c r="N16" s="23" t="s">
        <v>71</v>
      </c>
    </row>
    <row r="17" spans="1:14" ht="15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ht="15">
      <c r="A18" s="8">
        <v>46257</v>
      </c>
      <c r="B18" s="13">
        <v>300</v>
      </c>
      <c r="C18" s="13">
        <v>30</v>
      </c>
      <c r="D18" s="13">
        <v>90</v>
      </c>
      <c r="E18" s="13">
        <v>30</v>
      </c>
      <c r="F18" s="13">
        <v>0</v>
      </c>
      <c r="G18" s="13">
        <v>0</v>
      </c>
      <c r="H18" s="13">
        <v>200</v>
      </c>
      <c r="I18" s="14">
        <f t="shared" si="0"/>
        <v>650</v>
      </c>
      <c r="J18" s="14">
        <f t="shared" si="1"/>
        <v>790</v>
      </c>
      <c r="K18" s="15" t="s">
        <v>72</v>
      </c>
      <c r="L18" s="15" t="s">
        <v>64</v>
      </c>
      <c r="M18" s="15" t="s">
        <v>62</v>
      </c>
      <c r="N18" s="16" t="s">
        <v>66</v>
      </c>
    </row>
    <row r="19" spans="1:14" ht="43.5">
      <c r="A19" s="8">
        <v>46258</v>
      </c>
      <c r="B19" s="13">
        <v>300</v>
      </c>
      <c r="C19" s="13">
        <v>40</v>
      </c>
      <c r="D19" s="13">
        <v>60</v>
      </c>
      <c r="E19" s="13">
        <v>30</v>
      </c>
      <c r="F19" s="13">
        <v>100</v>
      </c>
      <c r="G19" s="13">
        <v>2</v>
      </c>
      <c r="H19" s="13">
        <v>180</v>
      </c>
      <c r="I19" s="14">
        <f t="shared" si="0"/>
        <v>710</v>
      </c>
      <c r="J19" s="14">
        <f t="shared" si="1"/>
        <v>730</v>
      </c>
      <c r="K19" s="15" t="s">
        <v>53</v>
      </c>
      <c r="L19" s="15" t="s">
        <v>60</v>
      </c>
      <c r="M19" s="15" t="s">
        <v>55</v>
      </c>
      <c r="N19" s="23" t="s">
        <v>71</v>
      </c>
    </row>
    <row r="20" spans="1:14" ht="43.5">
      <c r="A20" s="8">
        <v>46259</v>
      </c>
      <c r="B20" s="13">
        <v>320</v>
      </c>
      <c r="C20" s="13">
        <v>50</v>
      </c>
      <c r="D20" s="13">
        <v>40</v>
      </c>
      <c r="E20" s="13">
        <v>30</v>
      </c>
      <c r="F20" s="13">
        <v>300</v>
      </c>
      <c r="G20" s="13">
        <v>6</v>
      </c>
      <c r="H20" s="13">
        <v>60</v>
      </c>
      <c r="I20" s="14">
        <f t="shared" si="0"/>
        <v>800</v>
      </c>
      <c r="J20" s="14">
        <f t="shared" si="1"/>
        <v>640</v>
      </c>
      <c r="K20" s="15" t="s">
        <v>54</v>
      </c>
      <c r="L20" s="15" t="s">
        <v>54</v>
      </c>
      <c r="M20" s="15" t="s">
        <v>55</v>
      </c>
      <c r="N20" s="23" t="s">
        <v>73</v>
      </c>
    </row>
    <row r="21" spans="1:14" ht="43.5">
      <c r="A21" s="8">
        <v>46260</v>
      </c>
      <c r="B21" s="13">
        <v>300</v>
      </c>
      <c r="C21" s="13">
        <v>45</v>
      </c>
      <c r="D21" s="13">
        <v>50</v>
      </c>
      <c r="E21" s="13">
        <v>20</v>
      </c>
      <c r="F21" s="13">
        <v>400</v>
      </c>
      <c r="G21" s="13">
        <v>8</v>
      </c>
      <c r="H21" s="13">
        <v>60</v>
      </c>
      <c r="I21" s="14">
        <f t="shared" si="0"/>
        <v>875</v>
      </c>
      <c r="J21" s="14">
        <f t="shared" si="1"/>
        <v>565</v>
      </c>
      <c r="K21" s="15" t="s">
        <v>58</v>
      </c>
      <c r="L21" s="15" t="s">
        <v>54</v>
      </c>
      <c r="M21" s="15" t="s">
        <v>58</v>
      </c>
      <c r="N21" s="23" t="s">
        <v>74</v>
      </c>
    </row>
    <row r="22" spans="1:14" ht="43.5">
      <c r="A22" s="8">
        <v>46261</v>
      </c>
      <c r="B22" s="13">
        <v>320</v>
      </c>
      <c r="C22" s="13">
        <v>30</v>
      </c>
      <c r="D22" s="13">
        <v>45</v>
      </c>
      <c r="E22" s="13">
        <v>30</v>
      </c>
      <c r="F22" s="13">
        <v>250</v>
      </c>
      <c r="G22" s="13">
        <v>5</v>
      </c>
      <c r="H22" s="13">
        <v>60</v>
      </c>
      <c r="I22" s="14">
        <f t="shared" si="0"/>
        <v>735</v>
      </c>
      <c r="J22" s="14">
        <f t="shared" si="1"/>
        <v>705</v>
      </c>
      <c r="K22" s="15" t="s">
        <v>54</v>
      </c>
      <c r="L22" s="15" t="s">
        <v>60</v>
      </c>
      <c r="M22" s="15" t="s">
        <v>55</v>
      </c>
      <c r="N22" s="23" t="s">
        <v>71</v>
      </c>
    </row>
    <row r="23" spans="1:14" ht="28.5">
      <c r="A23" s="8">
        <v>46262</v>
      </c>
      <c r="B23" s="13">
        <v>340</v>
      </c>
      <c r="C23" s="13">
        <v>30</v>
      </c>
      <c r="D23" s="13">
        <v>60</v>
      </c>
      <c r="E23" s="13">
        <v>30</v>
      </c>
      <c r="F23" s="13">
        <v>200</v>
      </c>
      <c r="G23" s="13">
        <v>4</v>
      </c>
      <c r="H23" s="13">
        <v>45</v>
      </c>
      <c r="I23" s="14">
        <f t="shared" si="0"/>
        <v>705</v>
      </c>
      <c r="J23" s="14">
        <f t="shared" si="1"/>
        <v>735</v>
      </c>
      <c r="K23" s="15" t="s">
        <v>53</v>
      </c>
      <c r="L23" s="15" t="s">
        <v>60</v>
      </c>
      <c r="M23" s="15" t="s">
        <v>55</v>
      </c>
      <c r="N23" s="23" t="s">
        <v>75</v>
      </c>
    </row>
    <row r="24" spans="1:14" ht="15">
      <c r="A24" s="8">
        <v>46263</v>
      </c>
      <c r="B24" s="13">
        <v>360</v>
      </c>
      <c r="C24" s="13">
        <v>40</v>
      </c>
      <c r="D24" s="13">
        <v>60</v>
      </c>
      <c r="E24" s="13">
        <v>40</v>
      </c>
      <c r="F24" s="13">
        <v>0</v>
      </c>
      <c r="G24" s="13">
        <v>0</v>
      </c>
      <c r="H24" s="13">
        <v>200</v>
      </c>
      <c r="I24" s="14">
        <f t="shared" si="0"/>
        <v>700</v>
      </c>
      <c r="J24" s="14">
        <f t="shared" si="1"/>
        <v>740</v>
      </c>
      <c r="K24" s="15" t="s">
        <v>53</v>
      </c>
      <c r="L24" s="15" t="s">
        <v>60</v>
      </c>
      <c r="M24" s="15" t="s">
        <v>62</v>
      </c>
      <c r="N24" s="16" t="s">
        <v>66</v>
      </c>
    </row>
    <row r="25" spans="1:14" ht="15">
      <c r="A25" s="8">
        <v>46264</v>
      </c>
      <c r="B25" s="13">
        <v>340</v>
      </c>
      <c r="C25" s="13">
        <v>60</v>
      </c>
      <c r="D25" s="13">
        <v>60</v>
      </c>
      <c r="E25" s="13">
        <v>45</v>
      </c>
      <c r="F25" s="13">
        <v>0</v>
      </c>
      <c r="G25" s="13">
        <v>0</v>
      </c>
      <c r="H25" s="13">
        <v>240</v>
      </c>
      <c r="I25" s="14">
        <f t="shared" si="0"/>
        <v>745</v>
      </c>
      <c r="J25" s="14">
        <f t="shared" si="1"/>
        <v>695</v>
      </c>
      <c r="K25" s="15" t="s">
        <v>72</v>
      </c>
      <c r="L25" s="15" t="s">
        <v>64</v>
      </c>
      <c r="M25" s="15" t="s">
        <v>62</v>
      </c>
      <c r="N25" s="16" t="s">
        <v>66</v>
      </c>
    </row>
    <row r="26" spans="1:14" ht="28.5">
      <c r="A26" s="8">
        <v>46265</v>
      </c>
      <c r="B26" s="13">
        <v>340</v>
      </c>
      <c r="C26" s="13">
        <v>60</v>
      </c>
      <c r="D26" s="13">
        <v>60</v>
      </c>
      <c r="E26" s="13">
        <v>40</v>
      </c>
      <c r="F26" s="13">
        <v>100</v>
      </c>
      <c r="G26" s="13">
        <v>2</v>
      </c>
      <c r="H26" s="13">
        <v>180</v>
      </c>
      <c r="I26" s="14">
        <f t="shared" si="0"/>
        <v>780</v>
      </c>
      <c r="J26" s="14">
        <f t="shared" si="1"/>
        <v>660</v>
      </c>
      <c r="K26" s="15" t="s">
        <v>53</v>
      </c>
      <c r="L26" s="15" t="s">
        <v>60</v>
      </c>
      <c r="M26" s="15" t="s">
        <v>55</v>
      </c>
      <c r="N26" s="23" t="s">
        <v>76</v>
      </c>
    </row>
    <row r="27" spans="1:14" ht="43.5">
      <c r="A27" s="8">
        <v>46266</v>
      </c>
      <c r="B27" s="13">
        <v>340</v>
      </c>
      <c r="C27" s="13">
        <v>50</v>
      </c>
      <c r="D27" s="13">
        <v>40</v>
      </c>
      <c r="E27" s="13">
        <v>30</v>
      </c>
      <c r="F27" s="13">
        <v>300</v>
      </c>
      <c r="G27" s="13">
        <v>6</v>
      </c>
      <c r="H27" s="13">
        <v>60</v>
      </c>
      <c r="I27" s="14">
        <f t="shared" ref="I27:I28" si="2">IF(SUM(B27:F27,H27)=0,"",SUM(B27:F27,H27))</f>
        <v>820</v>
      </c>
      <c r="J27" s="14">
        <f t="shared" ref="J27:J28" si="3">IF(I27="","",1440-I27)</f>
        <v>620</v>
      </c>
      <c r="K27" s="15" t="s">
        <v>54</v>
      </c>
      <c r="L27" s="15" t="s">
        <v>54</v>
      </c>
      <c r="M27" s="15" t="s">
        <v>55</v>
      </c>
      <c r="N27" s="23" t="s">
        <v>73</v>
      </c>
    </row>
    <row r="28" spans="1:14" ht="43.5">
      <c r="A28" s="8">
        <v>46267</v>
      </c>
      <c r="B28" s="13">
        <v>300</v>
      </c>
      <c r="C28" s="13">
        <v>45</v>
      </c>
      <c r="D28" s="13">
        <v>50</v>
      </c>
      <c r="E28" s="13">
        <v>20</v>
      </c>
      <c r="F28" s="13">
        <v>400</v>
      </c>
      <c r="G28" s="13">
        <v>8</v>
      </c>
      <c r="H28" s="13">
        <v>80</v>
      </c>
      <c r="I28" s="14">
        <f t="shared" si="2"/>
        <v>895</v>
      </c>
      <c r="J28" s="14">
        <f t="shared" si="3"/>
        <v>545</v>
      </c>
      <c r="K28" s="15" t="s">
        <v>58</v>
      </c>
      <c r="L28" s="15" t="s">
        <v>54</v>
      </c>
      <c r="M28" s="15" t="s">
        <v>58</v>
      </c>
      <c r="N28" s="23" t="s">
        <v>74</v>
      </c>
    </row>
    <row r="29" spans="1:14" ht="28.5">
      <c r="A29" s="8">
        <v>46268</v>
      </c>
      <c r="B29" s="13">
        <v>340</v>
      </c>
      <c r="C29" s="13">
        <v>40</v>
      </c>
      <c r="D29" s="13">
        <v>45</v>
      </c>
      <c r="E29" s="13">
        <v>40</v>
      </c>
      <c r="F29" s="13">
        <v>180</v>
      </c>
      <c r="G29" s="13">
        <v>3</v>
      </c>
      <c r="H29" s="13">
        <v>180</v>
      </c>
      <c r="I29" s="14">
        <f t="shared" si="0"/>
        <v>825</v>
      </c>
      <c r="J29" s="14">
        <f t="shared" si="1"/>
        <v>615</v>
      </c>
      <c r="K29" s="15" t="s">
        <v>53</v>
      </c>
      <c r="L29" s="15" t="s">
        <v>60</v>
      </c>
      <c r="M29" s="15" t="s">
        <v>55</v>
      </c>
      <c r="N29" s="23" t="s">
        <v>77</v>
      </c>
    </row>
    <row r="30" spans="1:14" ht="28.5">
      <c r="A30" s="8">
        <v>46269</v>
      </c>
      <c r="B30" s="13">
        <v>320</v>
      </c>
      <c r="C30" s="13">
        <v>50</v>
      </c>
      <c r="D30" s="13">
        <v>20</v>
      </c>
      <c r="E30" s="13">
        <v>50</v>
      </c>
      <c r="F30" s="13">
        <v>200</v>
      </c>
      <c r="G30" s="13">
        <v>4</v>
      </c>
      <c r="H30" s="13">
        <v>120</v>
      </c>
      <c r="I30" s="14">
        <f t="shared" si="0"/>
        <v>760</v>
      </c>
      <c r="J30" s="14">
        <f t="shared" si="1"/>
        <v>680</v>
      </c>
      <c r="K30" s="15" t="s">
        <v>54</v>
      </c>
      <c r="L30" s="15" t="s">
        <v>54</v>
      </c>
      <c r="M30" s="15" t="s">
        <v>55</v>
      </c>
      <c r="N30" s="23" t="s">
        <v>77</v>
      </c>
    </row>
    <row r="31" spans="1:14" ht="15">
      <c r="A31" s="8">
        <v>46270</v>
      </c>
      <c r="B31" s="13">
        <v>350</v>
      </c>
      <c r="C31" s="13">
        <v>50</v>
      </c>
      <c r="D31" s="13">
        <v>80</v>
      </c>
      <c r="E31" s="13">
        <v>120</v>
      </c>
      <c r="F31" s="13">
        <v>0</v>
      </c>
      <c r="G31" s="13">
        <v>0</v>
      </c>
      <c r="H31" s="13">
        <v>200</v>
      </c>
      <c r="I31" s="14">
        <f t="shared" si="0"/>
        <v>800</v>
      </c>
      <c r="J31" s="14">
        <f t="shared" si="1"/>
        <v>640</v>
      </c>
      <c r="K31" s="15" t="s">
        <v>53</v>
      </c>
      <c r="L31" s="15" t="s">
        <v>64</v>
      </c>
      <c r="M31" s="15" t="s">
        <v>55</v>
      </c>
      <c r="N31" s="16" t="s">
        <v>66</v>
      </c>
    </row>
    <row r="32" spans="1:14" ht="15">
      <c r="A32" s="8">
        <v>46271</v>
      </c>
      <c r="B32" s="13">
        <v>300</v>
      </c>
      <c r="C32" s="13">
        <v>60</v>
      </c>
      <c r="D32" s="13">
        <v>100</v>
      </c>
      <c r="E32" s="13">
        <v>100</v>
      </c>
      <c r="F32" s="13">
        <v>0</v>
      </c>
      <c r="G32" s="13">
        <v>0</v>
      </c>
      <c r="H32" s="13">
        <v>160</v>
      </c>
      <c r="I32" s="14">
        <f t="shared" si="0"/>
        <v>720</v>
      </c>
      <c r="J32" s="14">
        <f t="shared" si="1"/>
        <v>720</v>
      </c>
      <c r="K32" s="15" t="s">
        <v>53</v>
      </c>
      <c r="L32" s="15" t="s">
        <v>60</v>
      </c>
      <c r="M32" s="15" t="s">
        <v>62</v>
      </c>
      <c r="N32" s="16" t="s">
        <v>66</v>
      </c>
    </row>
    <row r="33" spans="1:14" ht="28.5">
      <c r="A33" s="8">
        <v>46272</v>
      </c>
      <c r="B33" s="13">
        <v>320</v>
      </c>
      <c r="C33" s="13">
        <v>80</v>
      </c>
      <c r="D33" s="13">
        <v>80</v>
      </c>
      <c r="E33" s="13">
        <v>120</v>
      </c>
      <c r="F33" s="13">
        <v>120</v>
      </c>
      <c r="G33" s="13">
        <v>2</v>
      </c>
      <c r="H33" s="13">
        <v>80</v>
      </c>
      <c r="I33" s="14">
        <f t="shared" si="0"/>
        <v>800</v>
      </c>
      <c r="J33" s="14">
        <f t="shared" si="1"/>
        <v>640</v>
      </c>
      <c r="K33" s="15" t="s">
        <v>54</v>
      </c>
      <c r="L33" s="15" t="s">
        <v>54</v>
      </c>
      <c r="M33" s="15" t="s">
        <v>55</v>
      </c>
      <c r="N33" s="23" t="s">
        <v>78</v>
      </c>
    </row>
    <row r="34" spans="1:14" ht="28.5">
      <c r="A34" s="8">
        <v>46273</v>
      </c>
      <c r="B34" s="13">
        <v>300</v>
      </c>
      <c r="C34" s="13">
        <v>80</v>
      </c>
      <c r="D34" s="13">
        <v>100</v>
      </c>
      <c r="E34" s="13">
        <v>40</v>
      </c>
      <c r="F34" s="13">
        <v>250</v>
      </c>
      <c r="G34" s="13">
        <v>5</v>
      </c>
      <c r="H34" s="13">
        <v>120</v>
      </c>
      <c r="I34" s="14">
        <f t="shared" si="0"/>
        <v>890</v>
      </c>
      <c r="J34" s="14">
        <f t="shared" si="1"/>
        <v>550</v>
      </c>
      <c r="K34" s="15" t="s">
        <v>53</v>
      </c>
      <c r="L34" s="15" t="s">
        <v>64</v>
      </c>
      <c r="M34" s="15" t="s">
        <v>55</v>
      </c>
      <c r="N34" s="23" t="s">
        <v>79</v>
      </c>
    </row>
    <row r="35" spans="1:14" ht="28.5">
      <c r="A35" s="8">
        <v>46274</v>
      </c>
      <c r="B35" s="13">
        <v>320</v>
      </c>
      <c r="C35" s="13">
        <v>60</v>
      </c>
      <c r="D35" s="13">
        <v>50</v>
      </c>
      <c r="E35" s="13">
        <v>60</v>
      </c>
      <c r="F35" s="13">
        <v>400</v>
      </c>
      <c r="G35" s="13">
        <v>8</v>
      </c>
      <c r="H35" s="13">
        <v>60</v>
      </c>
      <c r="I35" s="14">
        <f t="shared" si="0"/>
        <v>950</v>
      </c>
      <c r="J35" s="14">
        <f t="shared" si="1"/>
        <v>490</v>
      </c>
      <c r="K35" s="15" t="s">
        <v>58</v>
      </c>
      <c r="L35" s="15" t="s">
        <v>54</v>
      </c>
      <c r="M35" s="15" t="s">
        <v>55</v>
      </c>
      <c r="N35" s="23" t="s">
        <v>80</v>
      </c>
    </row>
    <row r="36" spans="1:14" ht="28.5">
      <c r="A36" s="8">
        <v>46275</v>
      </c>
      <c r="B36" s="13">
        <v>300</v>
      </c>
      <c r="C36" s="13">
        <v>60</v>
      </c>
      <c r="D36" s="13">
        <v>50</v>
      </c>
      <c r="E36" s="13">
        <v>80</v>
      </c>
      <c r="F36" s="13">
        <v>250</v>
      </c>
      <c r="G36" s="13">
        <v>5</v>
      </c>
      <c r="H36" s="13">
        <v>150</v>
      </c>
      <c r="I36" s="14">
        <f t="shared" si="0"/>
        <v>890</v>
      </c>
      <c r="J36" s="14">
        <f t="shared" si="1"/>
        <v>550</v>
      </c>
      <c r="K36" s="15" t="s">
        <v>53</v>
      </c>
      <c r="L36" s="15" t="s">
        <v>60</v>
      </c>
      <c r="M36" s="15" t="s">
        <v>58</v>
      </c>
      <c r="N36" s="23" t="s">
        <v>79</v>
      </c>
    </row>
    <row r="37" spans="1:14" ht="28.5">
      <c r="A37" s="8">
        <v>46276</v>
      </c>
      <c r="B37" s="13">
        <v>320</v>
      </c>
      <c r="C37" s="13">
        <v>50</v>
      </c>
      <c r="D37" s="13">
        <v>60</v>
      </c>
      <c r="E37" s="13">
        <v>50</v>
      </c>
      <c r="F37" s="13">
        <v>200</v>
      </c>
      <c r="G37" s="13">
        <v>4</v>
      </c>
      <c r="H37" s="13">
        <v>120</v>
      </c>
      <c r="I37" s="14">
        <f t="shared" si="0"/>
        <v>800</v>
      </c>
      <c r="J37" s="14">
        <f t="shared" si="1"/>
        <v>640</v>
      </c>
      <c r="K37" s="15" t="s">
        <v>53</v>
      </c>
      <c r="L37" s="15" t="s">
        <v>64</v>
      </c>
      <c r="M37" s="15" t="s">
        <v>55</v>
      </c>
      <c r="N37" s="23" t="s">
        <v>81</v>
      </c>
    </row>
    <row r="38" spans="1:14" ht="15">
      <c r="A38" s="8">
        <v>46277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4">IF(SUM(B70:F70,H70)=0,"",SUM(B70:F70,H70))</f>
        <v/>
      </c>
      <c r="J70" s="14" t="str">
        <f t="shared" ref="J70:J133" si="5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4"/>
        <v/>
      </c>
      <c r="J71" s="14" t="str">
        <f t="shared" si="5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4"/>
        <v/>
      </c>
      <c r="J72" s="14" t="str">
        <f t="shared" si="5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4"/>
        <v/>
      </c>
      <c r="J73" s="14" t="str">
        <f t="shared" si="5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4"/>
        <v/>
      </c>
      <c r="J74" s="14" t="str">
        <f t="shared" si="5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4"/>
        <v/>
      </c>
      <c r="J75" s="14" t="str">
        <f t="shared" si="5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4"/>
        <v/>
      </c>
      <c r="J76" s="14" t="str">
        <f t="shared" si="5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4"/>
        <v/>
      </c>
      <c r="J77" s="14" t="str">
        <f t="shared" si="5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4"/>
        <v/>
      </c>
      <c r="J78" s="14" t="str">
        <f t="shared" si="5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4"/>
        <v/>
      </c>
      <c r="J79" s="14" t="str">
        <f t="shared" si="5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4"/>
        <v/>
      </c>
      <c r="J80" s="14" t="str">
        <f t="shared" si="5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4"/>
        <v/>
      </c>
      <c r="J81" s="14" t="str">
        <f t="shared" si="5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4"/>
        <v/>
      </c>
      <c r="J82" s="14" t="str">
        <f t="shared" si="5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4"/>
        <v/>
      </c>
      <c r="J83" s="14" t="str">
        <f t="shared" si="5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4"/>
        <v/>
      </c>
      <c r="J84" s="14" t="str">
        <f t="shared" si="5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4"/>
        <v/>
      </c>
      <c r="J85" s="14" t="str">
        <f t="shared" si="5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4"/>
        <v/>
      </c>
      <c r="J86" s="14" t="str">
        <f t="shared" si="5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4"/>
        <v/>
      </c>
      <c r="J87" s="14" t="str">
        <f t="shared" si="5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4"/>
        <v/>
      </c>
      <c r="J88" s="14" t="str">
        <f t="shared" si="5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4"/>
        <v/>
      </c>
      <c r="J89" s="14" t="str">
        <f t="shared" si="5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4"/>
        <v/>
      </c>
      <c r="J90" s="14" t="str">
        <f t="shared" si="5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4"/>
        <v/>
      </c>
      <c r="J91" s="14" t="str">
        <f t="shared" si="5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4"/>
        <v/>
      </c>
      <c r="J92" s="14" t="str">
        <f t="shared" si="5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4"/>
        <v/>
      </c>
      <c r="J93" s="14" t="str">
        <f t="shared" si="5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4"/>
        <v/>
      </c>
      <c r="J94" s="14" t="str">
        <f t="shared" si="5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4"/>
        <v/>
      </c>
      <c r="J95" s="14" t="str">
        <f t="shared" si="5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4"/>
        <v/>
      </c>
      <c r="J96" s="14" t="str">
        <f t="shared" si="5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4"/>
        <v/>
      </c>
      <c r="J97" s="14" t="str">
        <f t="shared" si="5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4"/>
        <v/>
      </c>
      <c r="J98" s="14" t="str">
        <f t="shared" si="5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4"/>
        <v/>
      </c>
      <c r="J99" s="14" t="str">
        <f t="shared" si="5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4"/>
        <v/>
      </c>
      <c r="J100" s="14" t="str">
        <f t="shared" si="5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4"/>
        <v/>
      </c>
      <c r="J101" s="14" t="str">
        <f t="shared" si="5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4"/>
        <v/>
      </c>
      <c r="J102" s="14" t="str">
        <f t="shared" si="5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4"/>
        <v/>
      </c>
      <c r="J103" s="14" t="str">
        <f t="shared" si="5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4"/>
        <v/>
      </c>
      <c r="J104" s="14" t="str">
        <f t="shared" si="5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4"/>
        <v/>
      </c>
      <c r="J105" s="14" t="str">
        <f t="shared" si="5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4"/>
        <v/>
      </c>
      <c r="J106" s="14" t="str">
        <f t="shared" si="5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4"/>
        <v/>
      </c>
      <c r="J107" s="14" t="str">
        <f t="shared" si="5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4"/>
        <v/>
      </c>
      <c r="J108" s="14" t="str">
        <f t="shared" si="5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4"/>
        <v/>
      </c>
      <c r="J109" s="14" t="str">
        <f t="shared" si="5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4"/>
        <v/>
      </c>
      <c r="J110" s="14" t="str">
        <f t="shared" si="5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4"/>
        <v/>
      </c>
      <c r="J111" s="14" t="str">
        <f t="shared" si="5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4"/>
        <v/>
      </c>
      <c r="J112" s="14" t="str">
        <f t="shared" si="5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4"/>
        <v/>
      </c>
      <c r="J113" s="14" t="str">
        <f t="shared" si="5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4"/>
        <v/>
      </c>
      <c r="J114" s="14" t="str">
        <f t="shared" si="5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4"/>
        <v/>
      </c>
      <c r="J115" s="14" t="str">
        <f t="shared" si="5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4"/>
        <v/>
      </c>
      <c r="J116" s="14" t="str">
        <f t="shared" si="5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4"/>
        <v/>
      </c>
      <c r="J117" s="14" t="str">
        <f t="shared" si="5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4"/>
        <v/>
      </c>
      <c r="J118" s="14" t="str">
        <f t="shared" si="5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4"/>
        <v/>
      </c>
      <c r="J119" s="14" t="str">
        <f t="shared" si="5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4"/>
        <v/>
      </c>
      <c r="J120" s="14" t="str">
        <f t="shared" si="5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4"/>
        <v/>
      </c>
      <c r="J121" s="14" t="str">
        <f t="shared" si="5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4"/>
        <v/>
      </c>
      <c r="J122" s="14" t="str">
        <f t="shared" si="5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4"/>
        <v/>
      </c>
      <c r="J123" s="14" t="str">
        <f t="shared" si="5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4"/>
        <v/>
      </c>
      <c r="J124" s="14" t="str">
        <f t="shared" si="5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4"/>
        <v/>
      </c>
      <c r="J125" s="14" t="str">
        <f t="shared" si="5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4"/>
        <v/>
      </c>
      <c r="J126" s="14" t="str">
        <f t="shared" si="5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4"/>
        <v/>
      </c>
      <c r="J127" s="14" t="str">
        <f t="shared" si="5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4"/>
        <v/>
      </c>
      <c r="J128" s="14" t="str">
        <f t="shared" si="5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4"/>
        <v/>
      </c>
      <c r="J129" s="14" t="str">
        <f t="shared" si="5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4"/>
        <v/>
      </c>
      <c r="J130" s="14" t="str">
        <f t="shared" si="5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4"/>
        <v/>
      </c>
      <c r="J131" s="14" t="str">
        <f t="shared" si="5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4"/>
        <v/>
      </c>
      <c r="J132" s="14" t="str">
        <f t="shared" si="5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4"/>
        <v/>
      </c>
      <c r="J133" s="14" t="str">
        <f t="shared" si="5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6">IF(SUM(B134:F134,H134)=0,"",SUM(B134:F134,H134))</f>
        <v/>
      </c>
      <c r="J134" s="14" t="str">
        <f t="shared" ref="J134:J197" si="7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6"/>
        <v/>
      </c>
      <c r="J135" s="14" t="str">
        <f t="shared" si="7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6"/>
        <v/>
      </c>
      <c r="J136" s="14" t="str">
        <f t="shared" si="7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6"/>
        <v/>
      </c>
      <c r="J137" s="14" t="str">
        <f t="shared" si="7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6"/>
        <v/>
      </c>
      <c r="J138" s="14" t="str">
        <f t="shared" si="7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6"/>
        <v/>
      </c>
      <c r="J139" s="14" t="str">
        <f t="shared" si="7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6"/>
        <v/>
      </c>
      <c r="J140" s="14" t="str">
        <f t="shared" si="7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6"/>
        <v/>
      </c>
      <c r="J141" s="14" t="str">
        <f t="shared" si="7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6"/>
        <v/>
      </c>
      <c r="J142" s="14" t="str">
        <f t="shared" si="7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6"/>
        <v/>
      </c>
      <c r="J143" s="14" t="str">
        <f t="shared" si="7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6"/>
        <v/>
      </c>
      <c r="J144" s="14" t="str">
        <f t="shared" si="7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6"/>
        <v/>
      </c>
      <c r="J145" s="14" t="str">
        <f t="shared" si="7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6"/>
        <v/>
      </c>
      <c r="J146" s="14" t="str">
        <f t="shared" si="7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6"/>
        <v/>
      </c>
      <c r="J147" s="14" t="str">
        <f t="shared" si="7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6"/>
        <v/>
      </c>
      <c r="J148" s="14" t="str">
        <f t="shared" si="7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6"/>
        <v/>
      </c>
      <c r="J149" s="14" t="str">
        <f t="shared" si="7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6"/>
        <v/>
      </c>
      <c r="J150" s="14" t="str">
        <f t="shared" si="7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6"/>
        <v/>
      </c>
      <c r="J151" s="14" t="str">
        <f t="shared" si="7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6"/>
        <v/>
      </c>
      <c r="J152" s="14" t="str">
        <f t="shared" si="7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6"/>
        <v/>
      </c>
      <c r="J153" s="14" t="str">
        <f t="shared" si="7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6"/>
        <v/>
      </c>
      <c r="J154" s="14" t="str">
        <f t="shared" si="7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6"/>
        <v/>
      </c>
      <c r="J155" s="14" t="str">
        <f t="shared" si="7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6"/>
        <v/>
      </c>
      <c r="J156" s="14" t="str">
        <f t="shared" si="7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6"/>
        <v/>
      </c>
      <c r="J157" s="14" t="str">
        <f t="shared" si="7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6"/>
        <v/>
      </c>
      <c r="J158" s="14" t="str">
        <f t="shared" si="7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6"/>
        <v/>
      </c>
      <c r="J159" s="14" t="str">
        <f t="shared" si="7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6"/>
        <v/>
      </c>
      <c r="J160" s="14" t="str">
        <f t="shared" si="7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6"/>
        <v/>
      </c>
      <c r="J161" s="14" t="str">
        <f t="shared" si="7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6"/>
        <v/>
      </c>
      <c r="J162" s="14" t="str">
        <f t="shared" si="7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6"/>
        <v/>
      </c>
      <c r="J163" s="14" t="str">
        <f t="shared" si="7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6"/>
        <v/>
      </c>
      <c r="J164" s="14" t="str">
        <f t="shared" si="7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6"/>
        <v/>
      </c>
      <c r="J165" s="14" t="str">
        <f t="shared" si="7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6"/>
        <v/>
      </c>
      <c r="J166" s="14" t="str">
        <f t="shared" si="7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6"/>
        <v/>
      </c>
      <c r="J167" s="14" t="str">
        <f t="shared" si="7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6"/>
        <v/>
      </c>
      <c r="J168" s="14" t="str">
        <f t="shared" si="7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6"/>
        <v/>
      </c>
      <c r="J169" s="14" t="str">
        <f t="shared" si="7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6"/>
        <v/>
      </c>
      <c r="J170" s="14" t="str">
        <f t="shared" si="7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6"/>
        <v/>
      </c>
      <c r="J171" s="14" t="str">
        <f t="shared" si="7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6"/>
        <v/>
      </c>
      <c r="J172" s="14" t="str">
        <f t="shared" si="7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6"/>
        <v/>
      </c>
      <c r="J173" s="14" t="str">
        <f t="shared" si="7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6"/>
        <v/>
      </c>
      <c r="J174" s="14" t="str">
        <f t="shared" si="7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6"/>
        <v/>
      </c>
      <c r="J175" s="14" t="str">
        <f t="shared" si="7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6"/>
        <v/>
      </c>
      <c r="J176" s="14" t="str">
        <f t="shared" si="7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6"/>
        <v/>
      </c>
      <c r="J177" s="14" t="str">
        <f t="shared" si="7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6"/>
        <v/>
      </c>
      <c r="J178" s="14" t="str">
        <f t="shared" si="7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6"/>
        <v/>
      </c>
      <c r="J179" s="14" t="str">
        <f t="shared" si="7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6"/>
        <v/>
      </c>
      <c r="J180" s="14" t="str">
        <f t="shared" si="7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6"/>
        <v/>
      </c>
      <c r="J181" s="14" t="str">
        <f t="shared" si="7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6"/>
        <v/>
      </c>
      <c r="J182" s="14" t="str">
        <f t="shared" si="7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6"/>
        <v/>
      </c>
      <c r="J183" s="14" t="str">
        <f t="shared" si="7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6"/>
        <v/>
      </c>
      <c r="J184" s="14" t="str">
        <f t="shared" si="7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6"/>
        <v/>
      </c>
      <c r="J185" s="14" t="str">
        <f t="shared" si="7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6"/>
        <v/>
      </c>
      <c r="J186" s="14" t="str">
        <f t="shared" si="7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6"/>
        <v/>
      </c>
      <c r="J187" s="14" t="str">
        <f t="shared" si="7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6"/>
        <v/>
      </c>
      <c r="J188" s="14" t="str">
        <f t="shared" si="7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6"/>
        <v/>
      </c>
      <c r="J189" s="14" t="str">
        <f t="shared" si="7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6"/>
        <v/>
      </c>
      <c r="J190" s="14" t="str">
        <f t="shared" si="7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6"/>
        <v/>
      </c>
      <c r="J191" s="14" t="str">
        <f t="shared" si="7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6"/>
        <v/>
      </c>
      <c r="J192" s="14" t="str">
        <f t="shared" si="7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6"/>
        <v/>
      </c>
      <c r="J193" s="14" t="str">
        <f t="shared" si="7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6"/>
        <v/>
      </c>
      <c r="J194" s="14" t="str">
        <f t="shared" si="7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6"/>
        <v/>
      </c>
      <c r="J195" s="14" t="str">
        <f t="shared" si="7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6"/>
        <v/>
      </c>
      <c r="J196" s="14" t="str">
        <f t="shared" si="7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6"/>
        <v/>
      </c>
      <c r="J197" s="14" t="str">
        <f t="shared" si="7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8">IF(SUM(B198:F198,H198)=0,"",SUM(B198:F198,H198))</f>
        <v/>
      </c>
      <c r="J198" s="14" t="str">
        <f t="shared" ref="J198:J261" si="9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8"/>
        <v/>
      </c>
      <c r="J199" s="14" t="str">
        <f t="shared" si="9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8"/>
        <v/>
      </c>
      <c r="J200" s="14" t="str">
        <f t="shared" si="9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8"/>
        <v/>
      </c>
      <c r="J201" s="14" t="str">
        <f t="shared" si="9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8"/>
        <v/>
      </c>
      <c r="J202" s="14" t="str">
        <f t="shared" si="9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8"/>
        <v/>
      </c>
      <c r="J203" s="14" t="str">
        <f t="shared" si="9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8"/>
        <v/>
      </c>
      <c r="J204" s="14" t="str">
        <f t="shared" si="9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8"/>
        <v/>
      </c>
      <c r="J205" s="14" t="str">
        <f t="shared" si="9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8"/>
        <v/>
      </c>
      <c r="J206" s="14" t="str">
        <f t="shared" si="9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8"/>
        <v/>
      </c>
      <c r="J207" s="14" t="str">
        <f t="shared" si="9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8"/>
        <v/>
      </c>
      <c r="J208" s="14" t="str">
        <f t="shared" si="9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8"/>
        <v/>
      </c>
      <c r="J209" s="14" t="str">
        <f t="shared" si="9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8"/>
        <v/>
      </c>
      <c r="J210" s="14" t="str">
        <f t="shared" si="9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8"/>
        <v/>
      </c>
      <c r="J211" s="14" t="str">
        <f t="shared" si="9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8"/>
        <v/>
      </c>
      <c r="J212" s="14" t="str">
        <f t="shared" si="9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8"/>
        <v/>
      </c>
      <c r="J213" s="14" t="str">
        <f t="shared" si="9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8"/>
        <v/>
      </c>
      <c r="J214" s="14" t="str">
        <f t="shared" si="9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8"/>
        <v/>
      </c>
      <c r="J215" s="14" t="str">
        <f t="shared" si="9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8"/>
        <v/>
      </c>
      <c r="J216" s="14" t="str">
        <f t="shared" si="9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8"/>
        <v/>
      </c>
      <c r="J217" s="14" t="str">
        <f t="shared" si="9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8"/>
        <v/>
      </c>
      <c r="J218" s="14" t="str">
        <f t="shared" si="9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8"/>
        <v/>
      </c>
      <c r="J219" s="14" t="str">
        <f t="shared" si="9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8"/>
        <v/>
      </c>
      <c r="J220" s="14" t="str">
        <f t="shared" si="9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8"/>
        <v/>
      </c>
      <c r="J221" s="14" t="str">
        <f t="shared" si="9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8"/>
        <v/>
      </c>
      <c r="J222" s="14" t="str">
        <f t="shared" si="9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8"/>
        <v/>
      </c>
      <c r="J223" s="14" t="str">
        <f t="shared" si="9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8"/>
        <v/>
      </c>
      <c r="J224" s="14" t="str">
        <f t="shared" si="9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8"/>
        <v/>
      </c>
      <c r="J225" s="14" t="str">
        <f t="shared" si="9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8"/>
        <v/>
      </c>
      <c r="J226" s="14" t="str">
        <f t="shared" si="9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8"/>
        <v/>
      </c>
      <c r="J227" s="14" t="str">
        <f t="shared" si="9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8"/>
        <v/>
      </c>
      <c r="J228" s="14" t="str">
        <f t="shared" si="9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8"/>
        <v/>
      </c>
      <c r="J229" s="14" t="str">
        <f t="shared" si="9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8"/>
        <v/>
      </c>
      <c r="J230" s="14" t="str">
        <f t="shared" si="9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8"/>
        <v/>
      </c>
      <c r="J231" s="14" t="str">
        <f t="shared" si="9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8"/>
        <v/>
      </c>
      <c r="J232" s="14" t="str">
        <f t="shared" si="9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8"/>
        <v/>
      </c>
      <c r="J233" s="14" t="str">
        <f t="shared" si="9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8"/>
        <v/>
      </c>
      <c r="J234" s="14" t="str">
        <f t="shared" si="9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8"/>
        <v/>
      </c>
      <c r="J235" s="14" t="str">
        <f t="shared" si="9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8"/>
        <v/>
      </c>
      <c r="J236" s="14" t="str">
        <f t="shared" si="9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8"/>
        <v/>
      </c>
      <c r="J237" s="14" t="str">
        <f t="shared" si="9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8"/>
        <v/>
      </c>
      <c r="J238" s="14" t="str">
        <f t="shared" si="9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8"/>
        <v/>
      </c>
      <c r="J239" s="14" t="str">
        <f t="shared" si="9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8"/>
        <v/>
      </c>
      <c r="J240" s="14" t="str">
        <f t="shared" si="9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8"/>
        <v/>
      </c>
      <c r="J241" s="14" t="str">
        <f t="shared" si="9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8"/>
        <v/>
      </c>
      <c r="J242" s="14" t="str">
        <f t="shared" si="9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8"/>
        <v/>
      </c>
      <c r="J243" s="14" t="str">
        <f t="shared" si="9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8"/>
        <v/>
      </c>
      <c r="J244" s="14" t="str">
        <f t="shared" si="9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8"/>
        <v/>
      </c>
      <c r="J245" s="14" t="str">
        <f t="shared" si="9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8"/>
        <v/>
      </c>
      <c r="J246" s="14" t="str">
        <f t="shared" si="9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8"/>
        <v/>
      </c>
      <c r="J247" s="14" t="str">
        <f t="shared" si="9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8"/>
        <v/>
      </c>
      <c r="J248" s="14" t="str">
        <f t="shared" si="9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8"/>
        <v/>
      </c>
      <c r="J249" s="14" t="str">
        <f t="shared" si="9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8"/>
        <v/>
      </c>
      <c r="J250" s="14" t="str">
        <f t="shared" si="9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8"/>
        <v/>
      </c>
      <c r="J251" s="14" t="str">
        <f t="shared" si="9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8"/>
        <v/>
      </c>
      <c r="J252" s="14" t="str">
        <f t="shared" si="9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8"/>
        <v/>
      </c>
      <c r="J253" s="14" t="str">
        <f t="shared" si="9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8"/>
        <v/>
      </c>
      <c r="J254" s="14" t="str">
        <f t="shared" si="9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8"/>
        <v/>
      </c>
      <c r="J255" s="14" t="str">
        <f t="shared" si="9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8"/>
        <v/>
      </c>
      <c r="J256" s="14" t="str">
        <f t="shared" si="9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8"/>
        <v/>
      </c>
      <c r="J257" s="14" t="str">
        <f t="shared" si="9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8"/>
        <v/>
      </c>
      <c r="J258" s="14" t="str">
        <f t="shared" si="9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8"/>
        <v/>
      </c>
      <c r="J259" s="14" t="str">
        <f t="shared" si="9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8"/>
        <v/>
      </c>
      <c r="J260" s="14" t="str">
        <f t="shared" si="9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8"/>
        <v/>
      </c>
      <c r="J261" s="14" t="str">
        <f t="shared" si="9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10">IF(SUM(B262:F262,H262)=0,"",SUM(B262:F262,H262))</f>
        <v/>
      </c>
      <c r="J262" s="14" t="str">
        <f t="shared" ref="J262:J325" si="11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10"/>
        <v/>
      </c>
      <c r="J263" s="14" t="str">
        <f t="shared" si="11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10"/>
        <v/>
      </c>
      <c r="J264" s="14" t="str">
        <f t="shared" si="11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10"/>
        <v/>
      </c>
      <c r="J265" s="14" t="str">
        <f t="shared" si="11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10"/>
        <v/>
      </c>
      <c r="J266" s="14" t="str">
        <f t="shared" si="11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10"/>
        <v/>
      </c>
      <c r="J267" s="14" t="str">
        <f t="shared" si="11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10"/>
        <v/>
      </c>
      <c r="J268" s="14" t="str">
        <f t="shared" si="11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10"/>
        <v/>
      </c>
      <c r="J269" s="14" t="str">
        <f t="shared" si="11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10"/>
        <v/>
      </c>
      <c r="J270" s="14" t="str">
        <f t="shared" si="11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10"/>
        <v/>
      </c>
      <c r="J271" s="14" t="str">
        <f t="shared" si="11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10"/>
        <v/>
      </c>
      <c r="J272" s="14" t="str">
        <f t="shared" si="11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10"/>
        <v/>
      </c>
      <c r="J273" s="14" t="str">
        <f t="shared" si="11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0"/>
        <v/>
      </c>
      <c r="J274" s="14" t="str">
        <f t="shared" si="11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0"/>
        <v/>
      </c>
      <c r="J275" s="14" t="str">
        <f t="shared" si="11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0"/>
        <v/>
      </c>
      <c r="J276" s="14" t="str">
        <f t="shared" si="11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0"/>
        <v/>
      </c>
      <c r="J277" s="14" t="str">
        <f t="shared" si="11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0"/>
        <v/>
      </c>
      <c r="J278" s="14" t="str">
        <f t="shared" si="11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0"/>
        <v/>
      </c>
      <c r="J279" s="14" t="str">
        <f t="shared" si="11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0"/>
        <v/>
      </c>
      <c r="J280" s="14" t="str">
        <f t="shared" si="11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0"/>
        <v/>
      </c>
      <c r="J281" s="14" t="str">
        <f t="shared" si="11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0"/>
        <v/>
      </c>
      <c r="J282" s="14" t="str">
        <f t="shared" si="11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0"/>
        <v/>
      </c>
      <c r="J283" s="14" t="str">
        <f t="shared" si="11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0"/>
        <v/>
      </c>
      <c r="J284" s="14" t="str">
        <f t="shared" si="11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0"/>
        <v/>
      </c>
      <c r="J285" s="14" t="str">
        <f t="shared" si="11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0"/>
        <v/>
      </c>
      <c r="J286" s="14" t="str">
        <f t="shared" si="11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0"/>
        <v/>
      </c>
      <c r="J287" s="14" t="str">
        <f t="shared" si="11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0"/>
        <v/>
      </c>
      <c r="J288" s="14" t="str">
        <f t="shared" si="11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0"/>
        <v/>
      </c>
      <c r="J289" s="14" t="str">
        <f t="shared" si="11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0"/>
        <v/>
      </c>
      <c r="J290" s="14" t="str">
        <f t="shared" si="11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0"/>
        <v/>
      </c>
      <c r="J291" s="14" t="str">
        <f t="shared" si="11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0"/>
        <v/>
      </c>
      <c r="J292" s="14" t="str">
        <f t="shared" si="11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0"/>
        <v/>
      </c>
      <c r="J293" s="14" t="str">
        <f t="shared" si="11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0"/>
        <v/>
      </c>
      <c r="J294" s="14" t="str">
        <f t="shared" si="11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0"/>
        <v/>
      </c>
      <c r="J295" s="14" t="str">
        <f t="shared" si="11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0"/>
        <v/>
      </c>
      <c r="J296" s="14" t="str">
        <f t="shared" si="11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0"/>
        <v/>
      </c>
      <c r="J297" s="14" t="str">
        <f t="shared" si="11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0"/>
        <v/>
      </c>
      <c r="J298" s="14" t="str">
        <f t="shared" si="11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0"/>
        <v/>
      </c>
      <c r="J299" s="14" t="str">
        <f t="shared" si="11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0"/>
        <v/>
      </c>
      <c r="J300" s="14" t="str">
        <f t="shared" si="11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0"/>
        <v/>
      </c>
      <c r="J301" s="14" t="str">
        <f t="shared" si="11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0"/>
        <v/>
      </c>
      <c r="J302" s="14" t="str">
        <f t="shared" si="11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0"/>
        <v/>
      </c>
      <c r="J303" s="14" t="str">
        <f t="shared" si="11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0"/>
        <v/>
      </c>
      <c r="J304" s="14" t="str">
        <f t="shared" si="11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0"/>
        <v/>
      </c>
      <c r="J305" s="14" t="str">
        <f t="shared" si="11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0"/>
        <v/>
      </c>
      <c r="J306" s="14" t="str">
        <f t="shared" si="11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0"/>
        <v/>
      </c>
      <c r="J307" s="14" t="str">
        <f t="shared" si="11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0"/>
        <v/>
      </c>
      <c r="J308" s="14" t="str">
        <f t="shared" si="11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0"/>
        <v/>
      </c>
      <c r="J309" s="14" t="str">
        <f t="shared" si="11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0"/>
        <v/>
      </c>
      <c r="J310" s="14" t="str">
        <f t="shared" si="11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0"/>
        <v/>
      </c>
      <c r="J311" s="14" t="str">
        <f t="shared" si="11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0"/>
        <v/>
      </c>
      <c r="J312" s="14" t="str">
        <f t="shared" si="11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0"/>
        <v/>
      </c>
      <c r="J313" s="14" t="str">
        <f t="shared" si="11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0"/>
        <v/>
      </c>
      <c r="J314" s="14" t="str">
        <f t="shared" si="11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0"/>
        <v/>
      </c>
      <c r="J315" s="14" t="str">
        <f t="shared" si="11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0"/>
        <v/>
      </c>
      <c r="J316" s="14" t="str">
        <f t="shared" si="11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0"/>
        <v/>
      </c>
      <c r="J317" s="14" t="str">
        <f t="shared" si="11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0"/>
        <v/>
      </c>
      <c r="J318" s="14" t="str">
        <f t="shared" si="11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0"/>
        <v/>
      </c>
      <c r="J319" s="14" t="str">
        <f t="shared" si="11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0"/>
        <v/>
      </c>
      <c r="J320" s="14" t="str">
        <f t="shared" si="11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0"/>
        <v/>
      </c>
      <c r="J321" s="14" t="str">
        <f t="shared" si="11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0"/>
        <v/>
      </c>
      <c r="J322" s="14" t="str">
        <f t="shared" si="11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0"/>
        <v/>
      </c>
      <c r="J323" s="14" t="str">
        <f t="shared" si="11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0"/>
        <v/>
      </c>
      <c r="J324" s="14" t="str">
        <f t="shared" si="11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0"/>
        <v/>
      </c>
      <c r="J325" s="14" t="str">
        <f t="shared" si="11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2">IF(SUM(B326:F326,H326)=0,"",SUM(B326:F326,H326))</f>
        <v/>
      </c>
      <c r="J326" s="14" t="str">
        <f t="shared" ref="J326:J389" si="13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2"/>
        <v/>
      </c>
      <c r="J327" s="14" t="str">
        <f t="shared" si="13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2"/>
        <v/>
      </c>
      <c r="J328" s="14" t="str">
        <f t="shared" si="13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2"/>
        <v/>
      </c>
      <c r="J329" s="14" t="str">
        <f t="shared" si="13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2"/>
        <v/>
      </c>
      <c r="J330" s="14" t="str">
        <f t="shared" si="13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2"/>
        <v/>
      </c>
      <c r="J331" s="14" t="str">
        <f t="shared" si="13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2"/>
        <v/>
      </c>
      <c r="J332" s="14" t="str">
        <f t="shared" si="13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2"/>
        <v/>
      </c>
      <c r="J333" s="14" t="str">
        <f t="shared" si="13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2"/>
        <v/>
      </c>
      <c r="J334" s="14" t="str">
        <f t="shared" si="13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2"/>
        <v/>
      </c>
      <c r="J335" s="14" t="str">
        <f t="shared" si="13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2"/>
        <v/>
      </c>
      <c r="J336" s="14" t="str">
        <f t="shared" si="13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2"/>
        <v/>
      </c>
      <c r="J337" s="14" t="str">
        <f t="shared" si="13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2"/>
        <v/>
      </c>
      <c r="J338" s="14" t="str">
        <f t="shared" si="13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2"/>
        <v/>
      </c>
      <c r="J339" s="14" t="str">
        <f t="shared" si="13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2"/>
        <v/>
      </c>
      <c r="J340" s="14" t="str">
        <f t="shared" si="13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2"/>
        <v/>
      </c>
      <c r="J341" s="14" t="str">
        <f t="shared" si="13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2"/>
        <v/>
      </c>
      <c r="J342" s="14" t="str">
        <f t="shared" si="13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2"/>
        <v/>
      </c>
      <c r="J343" s="14" t="str">
        <f t="shared" si="13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2"/>
        <v/>
      </c>
      <c r="J344" s="14" t="str">
        <f t="shared" si="13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2"/>
        <v/>
      </c>
      <c r="J345" s="14" t="str">
        <f t="shared" si="13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2"/>
        <v/>
      </c>
      <c r="J346" s="14" t="str">
        <f t="shared" si="13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2"/>
        <v/>
      </c>
      <c r="J347" s="14" t="str">
        <f t="shared" si="13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2"/>
        <v/>
      </c>
      <c r="J348" s="14" t="str">
        <f t="shared" si="13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2"/>
        <v/>
      </c>
      <c r="J349" s="14" t="str">
        <f t="shared" si="13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2"/>
        <v/>
      </c>
      <c r="J350" s="14" t="str">
        <f t="shared" si="13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2"/>
        <v/>
      </c>
      <c r="J351" s="14" t="str">
        <f t="shared" si="13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2"/>
        <v/>
      </c>
      <c r="J352" s="14" t="str">
        <f t="shared" si="13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2"/>
        <v/>
      </c>
      <c r="J353" s="14" t="str">
        <f t="shared" si="13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2"/>
        <v/>
      </c>
      <c r="J354" s="14" t="str">
        <f t="shared" si="13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2"/>
        <v/>
      </c>
      <c r="J355" s="14" t="str">
        <f t="shared" si="13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2"/>
        <v/>
      </c>
      <c r="J356" s="14" t="str">
        <f t="shared" si="13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2"/>
        <v/>
      </c>
      <c r="J357" s="14" t="str">
        <f t="shared" si="13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2"/>
        <v/>
      </c>
      <c r="J358" s="14" t="str">
        <f t="shared" si="13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2"/>
        <v/>
      </c>
      <c r="J359" s="14" t="str">
        <f t="shared" si="13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2"/>
        <v/>
      </c>
      <c r="J360" s="14" t="str">
        <f t="shared" si="13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2"/>
        <v/>
      </c>
      <c r="J361" s="14" t="str">
        <f t="shared" si="13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2"/>
        <v/>
      </c>
      <c r="J362" s="14" t="str">
        <f t="shared" si="13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2"/>
        <v/>
      </c>
      <c r="J363" s="14" t="str">
        <f t="shared" si="13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2"/>
        <v/>
      </c>
      <c r="J364" s="14" t="str">
        <f t="shared" si="13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2"/>
        <v/>
      </c>
      <c r="J365" s="14" t="str">
        <f t="shared" si="13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2"/>
        <v/>
      </c>
      <c r="J366" s="14" t="str">
        <f t="shared" si="13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2"/>
        <v/>
      </c>
      <c r="J367" s="14" t="str">
        <f t="shared" si="13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2"/>
        <v/>
      </c>
      <c r="J368" s="14" t="str">
        <f t="shared" si="13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2"/>
        <v/>
      </c>
      <c r="J369" s="14" t="str">
        <f t="shared" si="13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2"/>
        <v/>
      </c>
      <c r="J370" s="14" t="str">
        <f t="shared" si="13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2"/>
        <v/>
      </c>
      <c r="J371" s="14" t="str">
        <f t="shared" si="13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2"/>
        <v/>
      </c>
      <c r="J372" s="14" t="str">
        <f t="shared" si="13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2"/>
        <v/>
      </c>
      <c r="J373" s="14" t="str">
        <f t="shared" si="13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2"/>
        <v/>
      </c>
      <c r="J374" s="14" t="str">
        <f t="shared" si="13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2"/>
        <v/>
      </c>
      <c r="J375" s="14" t="str">
        <f t="shared" si="13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2"/>
        <v/>
      </c>
      <c r="J376" s="14" t="str">
        <f t="shared" si="13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2"/>
        <v/>
      </c>
      <c r="J377" s="14" t="str">
        <f t="shared" si="13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2"/>
        <v/>
      </c>
      <c r="J378" s="14" t="str">
        <f t="shared" si="13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2"/>
        <v/>
      </c>
      <c r="J379" s="14" t="str">
        <f t="shared" si="13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2"/>
        <v/>
      </c>
      <c r="J380" s="14" t="str">
        <f t="shared" si="13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2"/>
        <v/>
      </c>
      <c r="J381" s="14" t="str">
        <f t="shared" si="13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2"/>
        <v/>
      </c>
      <c r="J382" s="14" t="str">
        <f t="shared" si="13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2"/>
        <v/>
      </c>
      <c r="J383" s="14" t="str">
        <f t="shared" si="13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2"/>
        <v/>
      </c>
      <c r="J384" s="14" t="str">
        <f t="shared" si="13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2"/>
        <v/>
      </c>
      <c r="J385" s="14" t="str">
        <f t="shared" si="13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2"/>
        <v/>
      </c>
      <c r="J386" s="14" t="str">
        <f t="shared" si="13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2"/>
        <v/>
      </c>
      <c r="J387" s="14" t="str">
        <f t="shared" si="13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2"/>
        <v/>
      </c>
      <c r="J388" s="14" t="str">
        <f t="shared" si="13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2"/>
        <v/>
      </c>
      <c r="J389" s="14" t="str">
        <f t="shared" si="13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4">IF(SUM(B390:F390,H390)=0,"",SUM(B390:F390,H390))</f>
        <v/>
      </c>
      <c r="J390" s="14" t="str">
        <f t="shared" ref="J390:J401" si="15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4"/>
        <v/>
      </c>
      <c r="J391" s="14" t="str">
        <f t="shared" si="15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4"/>
        <v/>
      </c>
      <c r="J392" s="14" t="str">
        <f t="shared" si="15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4"/>
        <v/>
      </c>
      <c r="J393" s="14" t="str">
        <f t="shared" si="15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4"/>
        <v/>
      </c>
      <c r="J394" s="14" t="str">
        <f t="shared" si="15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4"/>
        <v/>
      </c>
      <c r="J395" s="14" t="str">
        <f t="shared" si="15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4"/>
        <v/>
      </c>
      <c r="J396" s="14" t="str">
        <f t="shared" si="15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4"/>
        <v/>
      </c>
      <c r="J397" s="14" t="str">
        <f t="shared" si="15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4"/>
        <v/>
      </c>
      <c r="J398" s="14" t="str">
        <f t="shared" si="15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4"/>
        <v/>
      </c>
      <c r="J399" s="14" t="str">
        <f t="shared" si="15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4"/>
        <v/>
      </c>
      <c r="J400" s="14" t="str">
        <f t="shared" si="15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4"/>
        <v/>
      </c>
      <c r="J401" s="14" t="str">
        <f t="shared" si="15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lakshmi ganesh maddala</cp:lastModifiedBy>
  <cp:revision>0</cp:revision>
  <dcterms:created xsi:type="dcterms:W3CDTF">2026-07-24T11:49:30Z</dcterms:created>
  <dcterms:modified xsi:type="dcterms:W3CDTF">2026-09-11T17:12:48Z</dcterms:modified>
  <cp:category/>
  <cp:contentStatus/>
</cp:coreProperties>
</file>